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MIN3P-AI-Assistant\06_calibration_projects\Orijärvi_HC\01_input\"/>
    </mc:Choice>
  </mc:AlternateContent>
  <xr:revisionPtr revIDLastSave="0" documentId="13_ncr:1_{5BEDBDD5-15A9-4385-8F2C-2DFA840777AE}" xr6:coauthVersionLast="47" xr6:coauthVersionMax="47" xr10:uidLastSave="{00000000-0000-0000-0000-000000000000}"/>
  <bookViews>
    <workbookView xWindow="4260" yWindow="5115" windowWidth="20235" windowHeight="9060" xr2:uid="{DF817622-66E8-4E6D-9EB8-34E49CEED4C5}"/>
  </bookViews>
  <sheets>
    <sheet name="observed data for min3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<sst xmlns="http://schemas.openxmlformats.org/spreadsheetml/2006/main" count="40" uniqueCount="20">
  <si>
    <t>Drainage water</t>
  </si>
  <si>
    <t>pH</t>
  </si>
  <si>
    <t>day</t>
  </si>
  <si>
    <t>date</t>
  </si>
  <si>
    <t>Parameter</t>
  </si>
  <si>
    <t>h+1</t>
  </si>
  <si>
    <t>so4-2</t>
  </si>
  <si>
    <t>ca+2</t>
  </si>
  <si>
    <t>mg+2</t>
  </si>
  <si>
    <t>al+3</t>
  </si>
  <si>
    <t>ni+2</t>
  </si>
  <si>
    <t>cu+2</t>
  </si>
  <si>
    <t>cd+2</t>
  </si>
  <si>
    <t>k+1</t>
  </si>
  <si>
    <t>h4sio4</t>
  </si>
  <si>
    <t>na+1</t>
  </si>
  <si>
    <t>pb+2</t>
  </si>
  <si>
    <t>zn+2</t>
  </si>
  <si>
    <t>fe+2</t>
  </si>
  <si>
    <t>fe+3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</si>
</sst>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A5D6F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/>
    <xf numFmtId="14" fontId="0" fillId="4" borderId="1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1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147C-CD7E-42FF-8EAF-3A1A2C49EA2E}">
  <dimension ref="A1:S22"/>
  <sheetViews>
    <sheetView tabSelected="1" zoomScaleNormal="100" workbookViewId="0">
      <selection activeCell="D7" sqref="D7"/>
    </sheetView>
  </sheetViews>
  <sheetFormatPr defaultRowHeight="15" x14ac:dyDescent="0.25"/>
  <cols>
    <col min="1" max="1" width="18.42578125" bestFit="1" customWidth="1"/>
    <col min="2" max="2" width="16" customWidth="1"/>
    <col min="4" max="4" width="12.140625" customWidth="1"/>
    <col min="5" max="5" width="18.42578125" customWidth="1"/>
    <col min="7" max="7" width="11.140625" customWidth="1"/>
    <col min="10" max="10" width="16.28515625" customWidth="1"/>
    <col min="11" max="11" width="10.5703125" customWidth="1"/>
  </cols>
  <sheetData>
    <row r="1" spans="1:19" x14ac:dyDescent="0.25">
      <c r="A1" s="4" t="s">
        <v>4</v>
      </c>
      <c r="B1" t="s">
        <v>3</v>
      </c>
      <c r="C1" s="3" t="s">
        <v>2</v>
      </c>
      <c r="D1" s="2" t="s">
        <v>1</v>
      </c>
      <c r="E1" s="5" t="s">
        <v>5</v>
      </c>
      <c r="F1" t="s">
        <v>6</v>
      </c>
      <c r="G1" s="1" t="s">
        <v>7</v>
      </c>
      <c r="H1" s="1" t="s">
        <v>8</v>
      </c>
      <c r="I1" s="1" t="s">
        <v>10</v>
      </c>
      <c r="J1" t="s">
        <v>18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2" t="s">
        <v>17</v>
      </c>
      <c r="S1" s="13" t="s">
        <v>19</v>
      </c>
    </row>
    <row r="2" spans="1:19" x14ac:dyDescent="0.25">
      <c r="A2" s="9" t="s">
        <v>0</v>
      </c>
      <c r="B2" s="8">
        <v>44973</v>
      </c>
      <c r="C2" s="6">
        <f>0</f>
        <v>0</v>
      </c>
      <c r="D2" s="10">
        <v>7.56</v>
      </c>
      <c r="E2" s="11">
        <f>10^-D2</f>
        <v>2.75422870333816E-8</v>
      </c>
      <c r="F2">
        <v>6.5479908390589214E-3</v>
      </c>
      <c r="G2">
        <v>3.2934131736526949E-3</v>
      </c>
      <c r="H2">
        <v>2.1225832990538875E-3</v>
      </c>
      <c r="I2">
        <v>1.8231385244505027E-7</v>
      </c>
      <c r="J2">
        <v>3.5810205908683977E-6</v>
      </c>
      <c r="K2">
        <v>1.9903632320237212E-6</v>
      </c>
      <c r="L2">
        <v>3.0212431156569632E-6</v>
      </c>
      <c r="M2">
        <v>6.7075882928565068E-7</v>
      </c>
      <c r="N2">
        <v>3.2736572890025578E-4</v>
      </c>
      <c r="O2">
        <v>9.8611605553577776E-5</v>
      </c>
      <c r="P2">
        <v>2.5793823401478903E-4</v>
      </c>
      <c r="Q2">
        <v>1.0907335907335907E-5</v>
      </c>
      <c r="R2">
        <v>8.9782808198225772E-4</v>
      </c>
      <c r="S2">
        <v>3.5810205908683977E-6</v>
      </c>
    </row>
    <row r="3" spans="1:19" x14ac:dyDescent="0.25">
      <c r="A3" s="9" t="s">
        <v>0</v>
      </c>
      <c r="B3" s="7">
        <f>B2+7</f>
        <v>44980</v>
      </c>
      <c r="C3" s="6">
        <f>C2+7</f>
        <v>7</v>
      </c>
      <c r="D3" s="10">
        <v>7.3</v>
      </c>
      <c r="E3" s="11">
        <f t="shared" ref="E3:E22" si="0">10^-D3</f>
        <v>5.0118723362727164E-8</v>
      </c>
      <c r="F3">
        <v>9.5461170102019571E-3</v>
      </c>
      <c r="G3">
        <v>7.1856287425149708E-3</v>
      </c>
      <c r="H3">
        <v>1.7235705470999589E-3</v>
      </c>
      <c r="I3">
        <v>4.2596694496507079E-8</v>
      </c>
      <c r="J3">
        <v>8.9525514771709943E-7</v>
      </c>
      <c r="K3">
        <v>3.0392883617494445E-7</v>
      </c>
      <c r="L3">
        <v>1.0149488591660112E-6</v>
      </c>
      <c r="M3">
        <v>3.869762476647985E-7</v>
      </c>
      <c r="N3">
        <v>3.4782608695652171E-4</v>
      </c>
      <c r="O3">
        <v>2.4136703453186189E-4</v>
      </c>
      <c r="P3">
        <v>1.2048716833405829E-4</v>
      </c>
      <c r="Q3">
        <v>3.5617760617760624E-6</v>
      </c>
      <c r="R3">
        <v>3.6249617620067304E-5</v>
      </c>
      <c r="S3">
        <v>8.9525514771709943E-7</v>
      </c>
    </row>
    <row r="4" spans="1:19" x14ac:dyDescent="0.25">
      <c r="A4" s="9" t="s">
        <v>0</v>
      </c>
      <c r="B4" s="7">
        <f t="shared" ref="B4:C22" si="1">B3+7</f>
        <v>44987</v>
      </c>
      <c r="C4" s="6">
        <f t="shared" si="1"/>
        <v>14</v>
      </c>
      <c r="D4" s="10">
        <v>4.7</v>
      </c>
      <c r="E4" s="11">
        <f t="shared" si="0"/>
        <v>1.9952623149688769E-5</v>
      </c>
      <c r="F4">
        <v>6.2460961898813238E-3</v>
      </c>
      <c r="G4">
        <v>4.565868263473054E-3</v>
      </c>
      <c r="H4">
        <v>8.2270670505964628E-4</v>
      </c>
      <c r="I4">
        <v>2.3342988584085874E-8</v>
      </c>
      <c r="J4">
        <v>3.5810205908683979E-7</v>
      </c>
      <c r="K4">
        <v>5.8561897702001483E-7</v>
      </c>
      <c r="L4">
        <v>6.6876475216365078E-7</v>
      </c>
      <c r="M4">
        <v>3.7096343741659998E-7</v>
      </c>
      <c r="N4">
        <v>2.4910485933503834E-4</v>
      </c>
      <c r="O4">
        <v>2.0825916696333216E-4</v>
      </c>
      <c r="P4">
        <v>5.8721183123097004E-5</v>
      </c>
      <c r="Q4">
        <v>6.8532818532818538E-6</v>
      </c>
      <c r="R4">
        <v>3.013153869684919E-5</v>
      </c>
      <c r="S4">
        <v>3.5810205908683979E-7</v>
      </c>
    </row>
    <row r="5" spans="1:19" x14ac:dyDescent="0.25">
      <c r="A5" s="9" t="s">
        <v>0</v>
      </c>
      <c r="B5" s="7">
        <f t="shared" si="1"/>
        <v>44994</v>
      </c>
      <c r="C5" s="6">
        <f t="shared" si="1"/>
        <v>21</v>
      </c>
      <c r="D5" s="10">
        <v>6.73</v>
      </c>
      <c r="E5" s="11">
        <f t="shared" si="0"/>
        <v>1.8620871366628614E-7</v>
      </c>
      <c r="F5">
        <v>7.2558817405788054E-3</v>
      </c>
      <c r="G5">
        <v>5.3642714570858287E-3</v>
      </c>
      <c r="H5">
        <v>7.2398190045248878E-4</v>
      </c>
      <c r="I5">
        <v>5.1456806951780549E-8</v>
      </c>
      <c r="J5">
        <v>8.9525514771709943E-7</v>
      </c>
      <c r="K5">
        <v>4.8554484803558195E-7</v>
      </c>
      <c r="L5">
        <v>1.3973249409913455E-6</v>
      </c>
      <c r="M5">
        <v>7.4726447824926615E-7</v>
      </c>
      <c r="N5">
        <v>3.4782608695652171E-4</v>
      </c>
      <c r="O5">
        <v>2.6806692773228907E-4</v>
      </c>
      <c r="P5">
        <v>7.3075250108742935E-5</v>
      </c>
      <c r="Q5">
        <v>9.0733590733590737E-6</v>
      </c>
      <c r="R5">
        <v>1.4545732639951054E-4</v>
      </c>
      <c r="S5">
        <v>8.9525514771709943E-7</v>
      </c>
    </row>
    <row r="6" spans="1:19" x14ac:dyDescent="0.25">
      <c r="A6" s="9" t="s">
        <v>0</v>
      </c>
      <c r="B6" s="7">
        <f t="shared" si="1"/>
        <v>45001</v>
      </c>
      <c r="C6" s="6">
        <f t="shared" si="1"/>
        <v>28</v>
      </c>
      <c r="D6" s="10">
        <v>6.43</v>
      </c>
      <c r="E6" s="11">
        <f t="shared" si="0"/>
        <v>3.7153522909717226E-7</v>
      </c>
      <c r="F6">
        <v>7.0268582136164904E-3</v>
      </c>
      <c r="G6">
        <v>5.0399201596806392E-3</v>
      </c>
      <c r="H6">
        <v>6.4993829699712066E-4</v>
      </c>
      <c r="I6">
        <v>4.2596694496507079E-8</v>
      </c>
      <c r="J6">
        <v>8.9525514771709943E-7</v>
      </c>
      <c r="K6">
        <v>4.5959970348406228E-7</v>
      </c>
      <c r="L6">
        <v>1.5735641227380017E-6</v>
      </c>
      <c r="M6">
        <v>9.8745663197224452E-7</v>
      </c>
      <c r="N6">
        <v>4.2710997442455239E-4</v>
      </c>
      <c r="O6">
        <v>2.3460306158775367E-4</v>
      </c>
      <c r="P6">
        <v>8.264462809917356E-5</v>
      </c>
      <c r="Q6">
        <v>9.6525096525096531E-6</v>
      </c>
      <c r="R6">
        <v>1.7436524931171613E-4</v>
      </c>
      <c r="S6">
        <v>8.9525514771709943E-7</v>
      </c>
    </row>
    <row r="7" spans="1:19" x14ac:dyDescent="0.25">
      <c r="A7" s="9" t="s">
        <v>0</v>
      </c>
      <c r="B7" s="7">
        <f t="shared" si="1"/>
        <v>45008</v>
      </c>
      <c r="C7" s="6">
        <f t="shared" si="1"/>
        <v>35</v>
      </c>
      <c r="D7" s="10">
        <v>5.57</v>
      </c>
      <c r="E7" s="11">
        <f t="shared" si="0"/>
        <v>2.6915348039269108E-6</v>
      </c>
      <c r="F7">
        <v>5.5173849677285034E-3</v>
      </c>
      <c r="G7">
        <v>4.1417165668662676E-3</v>
      </c>
      <c r="H7">
        <v>5.018510900863842E-4</v>
      </c>
      <c r="I7">
        <v>3.2884648151303464E-8</v>
      </c>
      <c r="J7">
        <v>3.5810205908683979E-7</v>
      </c>
      <c r="K7">
        <v>6.3009636767976285E-7</v>
      </c>
      <c r="L7">
        <v>2.4232887490165225E-6</v>
      </c>
      <c r="M7">
        <v>9.7856062627880083E-7</v>
      </c>
      <c r="N7">
        <v>4.3734015345268544E-4</v>
      </c>
      <c r="O7">
        <v>2.3567105731577074E-4</v>
      </c>
      <c r="P7">
        <v>6.9595476294040897E-5</v>
      </c>
      <c r="Q7">
        <v>1.085907335907336E-5</v>
      </c>
      <c r="R7">
        <v>1.4851636586111965E-4</v>
      </c>
      <c r="S7">
        <v>3.5810205908683979E-7</v>
      </c>
    </row>
    <row r="8" spans="1:19" x14ac:dyDescent="0.25">
      <c r="A8" s="9" t="s">
        <v>0</v>
      </c>
      <c r="B8" s="7">
        <f t="shared" si="1"/>
        <v>45015</v>
      </c>
      <c r="C8" s="6">
        <f t="shared" si="1"/>
        <v>42</v>
      </c>
      <c r="D8" s="10">
        <v>5.41</v>
      </c>
      <c r="E8" s="11">
        <f t="shared" si="0"/>
        <v>3.8904514499428E-6</v>
      </c>
      <c r="F8">
        <v>5.5173849677285034E-3</v>
      </c>
      <c r="G8">
        <v>4.1417165668662676E-3</v>
      </c>
      <c r="H8">
        <v>5.018510900863842E-4</v>
      </c>
      <c r="I8">
        <v>3.2884648151303464E-8</v>
      </c>
      <c r="J8">
        <v>3.5810205908683979E-7</v>
      </c>
      <c r="K8">
        <v>6.3009636767976285E-7</v>
      </c>
      <c r="L8">
        <v>2.4232887490165225E-6</v>
      </c>
      <c r="M8">
        <v>9.7856062627880083E-7</v>
      </c>
      <c r="N8">
        <v>4.3734015345268544E-4</v>
      </c>
      <c r="O8">
        <v>2.3567105731577074E-4</v>
      </c>
      <c r="P8">
        <v>6.9595476294040897E-5</v>
      </c>
      <c r="Q8">
        <v>1.085907335907336E-5</v>
      </c>
      <c r="R8">
        <v>1.4851636586111965E-4</v>
      </c>
      <c r="S8">
        <v>3.5810205908683979E-7</v>
      </c>
    </row>
    <row r="9" spans="1:19" x14ac:dyDescent="0.25">
      <c r="A9" s="9" t="s">
        <v>0</v>
      </c>
      <c r="B9" s="7">
        <f t="shared" si="1"/>
        <v>45022</v>
      </c>
      <c r="C9" s="6">
        <f t="shared" si="1"/>
        <v>49</v>
      </c>
      <c r="D9" s="10">
        <v>5.41</v>
      </c>
      <c r="E9" s="11">
        <f t="shared" si="0"/>
        <v>3.8904514499428E-6</v>
      </c>
      <c r="F9">
        <v>5.5173849677285034E-3</v>
      </c>
      <c r="G9">
        <v>4.1417165668662676E-3</v>
      </c>
      <c r="H9">
        <v>5.018510900863842E-4</v>
      </c>
      <c r="I9">
        <v>3.2884648151303464E-8</v>
      </c>
      <c r="J9">
        <v>3.5810205908683979E-7</v>
      </c>
      <c r="K9">
        <v>6.3009636767976285E-7</v>
      </c>
      <c r="L9">
        <v>2.4232887490165225E-6</v>
      </c>
      <c r="M9">
        <v>9.7856062627880083E-7</v>
      </c>
      <c r="N9">
        <v>4.3734015345268544E-4</v>
      </c>
      <c r="O9">
        <v>2.3567105731577074E-4</v>
      </c>
      <c r="P9">
        <v>6.9595476294040897E-5</v>
      </c>
      <c r="Q9">
        <v>1.085907335907336E-5</v>
      </c>
      <c r="R9">
        <v>1.4851636586111965E-4</v>
      </c>
      <c r="S9">
        <v>3.5810205908683979E-7</v>
      </c>
    </row>
    <row r="10" spans="1:19" x14ac:dyDescent="0.25">
      <c r="A10" s="9" t="s">
        <v>0</v>
      </c>
      <c r="B10" s="7">
        <f t="shared" si="1"/>
        <v>45029</v>
      </c>
      <c r="C10" s="6">
        <f t="shared" si="1"/>
        <v>56</v>
      </c>
      <c r="D10" s="10">
        <v>5.32</v>
      </c>
      <c r="E10" s="11">
        <f t="shared" si="0"/>
        <v>4.7863009232263716E-6</v>
      </c>
      <c r="F10">
        <v>5.5173849677285034E-3</v>
      </c>
      <c r="G10">
        <v>4.1417165668662676E-3</v>
      </c>
      <c r="H10">
        <v>5.018510900863842E-4</v>
      </c>
      <c r="I10">
        <v>3.2884648151303464E-8</v>
      </c>
      <c r="J10">
        <v>3.5810205908683979E-7</v>
      </c>
      <c r="K10">
        <v>6.3009636767976285E-7</v>
      </c>
      <c r="L10">
        <v>2.4232887490165225E-6</v>
      </c>
      <c r="M10">
        <v>9.7856062627880083E-7</v>
      </c>
      <c r="N10">
        <v>4.3734015345268544E-4</v>
      </c>
      <c r="O10">
        <v>2.3567105731577074E-4</v>
      </c>
      <c r="P10">
        <v>6.9595476294040897E-5</v>
      </c>
      <c r="Q10">
        <v>1.085907335907336E-5</v>
      </c>
      <c r="R10">
        <v>1.4851636586111965E-4</v>
      </c>
      <c r="S10">
        <v>3.5810205908683979E-7</v>
      </c>
    </row>
    <row r="11" spans="1:19" x14ac:dyDescent="0.25">
      <c r="A11" s="9" t="s">
        <v>0</v>
      </c>
      <c r="B11" s="7">
        <f t="shared" si="1"/>
        <v>45036</v>
      </c>
      <c r="C11" s="6">
        <f t="shared" si="1"/>
        <v>63</v>
      </c>
      <c r="D11" s="10">
        <v>5.12</v>
      </c>
      <c r="E11" s="11">
        <f t="shared" si="0"/>
        <v>7.5857757502918323E-6</v>
      </c>
      <c r="F11">
        <v>3.8933999583593585E-3</v>
      </c>
      <c r="G11">
        <v>3.0439121756487028E-3</v>
      </c>
      <c r="H11">
        <v>3.5993418346359529E-4</v>
      </c>
      <c r="I11">
        <v>4.4470949054353385E-8</v>
      </c>
      <c r="J11">
        <v>8.9525514771709943E-7</v>
      </c>
      <c r="K11">
        <v>2.0978502594514456E-6</v>
      </c>
      <c r="L11">
        <v>4.5003933910306842E-6</v>
      </c>
      <c r="M11">
        <v>1.1475847344542302E-6</v>
      </c>
      <c r="N11">
        <v>4.1432225063938615E-4</v>
      </c>
      <c r="O11">
        <v>2.4955500177999287E-4</v>
      </c>
      <c r="P11">
        <v>6.0896041757285781E-5</v>
      </c>
      <c r="Q11">
        <v>1.6988416988416988E-5</v>
      </c>
      <c r="R11">
        <v>2.1413276231263385E-4</v>
      </c>
      <c r="S11">
        <v>8.9525514771709943E-7</v>
      </c>
    </row>
    <row r="12" spans="1:19" x14ac:dyDescent="0.25">
      <c r="A12" s="9" t="s">
        <v>0</v>
      </c>
      <c r="B12" s="7">
        <f t="shared" si="1"/>
        <v>45043</v>
      </c>
      <c r="C12" s="6">
        <f t="shared" si="1"/>
        <v>70</v>
      </c>
      <c r="D12" s="10">
        <v>5.03</v>
      </c>
      <c r="E12" s="11">
        <f t="shared" si="0"/>
        <v>9.3325430079698941E-6</v>
      </c>
      <c r="F12">
        <v>3.8933999583593585E-3</v>
      </c>
      <c r="G12">
        <v>3.0439121756487028E-3</v>
      </c>
      <c r="H12">
        <v>3.5993418346359529E-4</v>
      </c>
      <c r="I12">
        <v>4.4470949054353385E-8</v>
      </c>
      <c r="J12">
        <v>8.9525514771709943E-7</v>
      </c>
      <c r="K12">
        <v>2.0978502594514456E-6</v>
      </c>
      <c r="L12">
        <v>4.5003933910306842E-6</v>
      </c>
      <c r="M12">
        <v>1.1475847344542302E-6</v>
      </c>
      <c r="N12">
        <v>4.1432225063938615E-4</v>
      </c>
      <c r="O12">
        <v>2.4955500177999287E-4</v>
      </c>
      <c r="P12">
        <v>6.0896041757285781E-5</v>
      </c>
      <c r="Q12">
        <v>1.6988416988416988E-5</v>
      </c>
      <c r="R12">
        <v>2.1413276231263385E-4</v>
      </c>
      <c r="S12">
        <v>8.9525514771709943E-7</v>
      </c>
    </row>
    <row r="13" spans="1:19" x14ac:dyDescent="0.25">
      <c r="A13" s="9" t="s">
        <v>0</v>
      </c>
      <c r="B13" s="7">
        <f t="shared" si="1"/>
        <v>45050</v>
      </c>
      <c r="C13" s="6">
        <f t="shared" si="1"/>
        <v>77</v>
      </c>
      <c r="D13" s="10">
        <v>5.05</v>
      </c>
      <c r="E13" s="11">
        <f t="shared" si="0"/>
        <v>8.9125093813374425E-6</v>
      </c>
      <c r="F13">
        <v>3.8933999583593585E-3</v>
      </c>
      <c r="G13">
        <v>3.0439121756487028E-3</v>
      </c>
      <c r="H13">
        <v>3.5993418346359529E-4</v>
      </c>
      <c r="I13">
        <v>4.4470949054353385E-8</v>
      </c>
      <c r="J13">
        <v>8.9525514771709943E-7</v>
      </c>
      <c r="K13">
        <v>2.0978502594514456E-6</v>
      </c>
      <c r="L13">
        <v>4.5003933910306842E-6</v>
      </c>
      <c r="M13">
        <v>1.1475847344542302E-6</v>
      </c>
      <c r="N13">
        <v>4.1432225063938615E-4</v>
      </c>
      <c r="O13">
        <v>2.4955500177999287E-4</v>
      </c>
      <c r="P13">
        <v>6.0896041757285781E-5</v>
      </c>
      <c r="Q13">
        <v>1.6988416988416988E-5</v>
      </c>
      <c r="R13">
        <v>2.1413276231263385E-4</v>
      </c>
      <c r="S13">
        <v>8.9525514771709943E-7</v>
      </c>
    </row>
    <row r="14" spans="1:19" x14ac:dyDescent="0.25">
      <c r="A14" s="9" t="s">
        <v>0</v>
      </c>
      <c r="B14" s="7">
        <f t="shared" si="1"/>
        <v>45057</v>
      </c>
      <c r="C14" s="6">
        <f t="shared" si="1"/>
        <v>84</v>
      </c>
      <c r="D14" s="10">
        <v>4.9800000000000004</v>
      </c>
      <c r="E14" s="11">
        <f t="shared" si="0"/>
        <v>1.0471285480508972E-5</v>
      </c>
      <c r="F14">
        <v>3.8933999583593585E-3</v>
      </c>
      <c r="G14">
        <v>3.0439121756487028E-3</v>
      </c>
      <c r="H14">
        <v>3.5993418346359529E-4</v>
      </c>
      <c r="I14">
        <v>4.4470949054353385E-8</v>
      </c>
      <c r="J14">
        <v>8.9525514771709943E-7</v>
      </c>
      <c r="K14">
        <v>2.0978502594514456E-6</v>
      </c>
      <c r="L14">
        <v>4.5003933910306842E-6</v>
      </c>
      <c r="M14">
        <v>1.1475847344542302E-6</v>
      </c>
      <c r="N14">
        <v>4.1432225063938615E-4</v>
      </c>
      <c r="O14">
        <v>2.4955500177999287E-4</v>
      </c>
      <c r="P14">
        <v>6.0896041757285781E-5</v>
      </c>
      <c r="Q14">
        <v>1.6988416988416988E-5</v>
      </c>
      <c r="R14">
        <v>2.1413276231263385E-4</v>
      </c>
      <c r="S14">
        <v>8.9525514771709943E-7</v>
      </c>
    </row>
    <row r="15" spans="1:19" x14ac:dyDescent="0.25">
      <c r="A15" s="9" t="s">
        <v>0</v>
      </c>
      <c r="B15" s="7">
        <f t="shared" si="1"/>
        <v>45064</v>
      </c>
      <c r="C15" s="6">
        <f t="shared" si="1"/>
        <v>91</v>
      </c>
      <c r="D15" s="10">
        <v>5.09</v>
      </c>
      <c r="E15" s="11">
        <f t="shared" si="0"/>
        <v>8.128305161640983E-6</v>
      </c>
      <c r="F15">
        <v>3.2167395377888817E-3</v>
      </c>
      <c r="G15">
        <v>2.4825349301397207E-3</v>
      </c>
      <c r="H15">
        <v>3.0275606746194982E-4</v>
      </c>
      <c r="I15">
        <v>4.4641335832339407E-8</v>
      </c>
      <c r="J15">
        <v>8.9525514771709943E-7</v>
      </c>
      <c r="K15">
        <v>2.1052631578947371E-6</v>
      </c>
      <c r="L15">
        <v>5.4760031471282461E-6</v>
      </c>
      <c r="M15">
        <v>1.0408326661329064E-6</v>
      </c>
      <c r="N15">
        <v>3.6828644501278775E-4</v>
      </c>
      <c r="O15">
        <v>2.1893912424350302E-4</v>
      </c>
      <c r="P15">
        <v>6.0026098303610265E-5</v>
      </c>
      <c r="Q15">
        <v>1.8050193050193051E-5</v>
      </c>
      <c r="R15">
        <v>2.3554603854389724E-4</v>
      </c>
      <c r="S15">
        <v>8.9525514771709943E-7</v>
      </c>
    </row>
    <row r="16" spans="1:19" x14ac:dyDescent="0.25">
      <c r="A16" s="9" t="s">
        <v>0</v>
      </c>
      <c r="B16" s="7">
        <f t="shared" si="1"/>
        <v>45071</v>
      </c>
      <c r="C16" s="6">
        <f t="shared" si="1"/>
        <v>98</v>
      </c>
      <c r="D16" s="10">
        <v>5.27</v>
      </c>
      <c r="E16" s="11">
        <f t="shared" si="0"/>
        <v>5.3703179637025301E-6</v>
      </c>
      <c r="F16">
        <v>3.2167395377888817E-3</v>
      </c>
      <c r="G16">
        <v>2.4825349301397207E-3</v>
      </c>
      <c r="H16">
        <v>3.0275606746194982E-4</v>
      </c>
      <c r="I16">
        <v>4.4641335832339407E-8</v>
      </c>
      <c r="J16">
        <v>8.9525514771709943E-7</v>
      </c>
      <c r="K16">
        <v>2.1052631578947371E-6</v>
      </c>
      <c r="L16">
        <v>5.4760031471282461E-6</v>
      </c>
      <c r="M16">
        <v>1.0408326661329064E-6</v>
      </c>
      <c r="N16">
        <v>3.6828644501278775E-4</v>
      </c>
      <c r="O16">
        <v>2.1893912424350302E-4</v>
      </c>
      <c r="P16">
        <v>6.0026098303610265E-5</v>
      </c>
      <c r="Q16">
        <v>1.8050193050193051E-5</v>
      </c>
      <c r="R16">
        <v>2.3554603854389724E-4</v>
      </c>
      <c r="S16">
        <v>8.9525514771709943E-7</v>
      </c>
    </row>
    <row r="17" spans="1:19" x14ac:dyDescent="0.25">
      <c r="A17" s="9" t="s">
        <v>0</v>
      </c>
      <c r="B17" s="7">
        <f t="shared" si="1"/>
        <v>45078</v>
      </c>
      <c r="C17" s="6">
        <f t="shared" si="1"/>
        <v>105</v>
      </c>
      <c r="D17" s="10">
        <v>5.14</v>
      </c>
      <c r="E17" s="11">
        <f t="shared" si="0"/>
        <v>7.2443596007498957E-6</v>
      </c>
      <c r="F17">
        <v>3.2167395377888817E-3</v>
      </c>
      <c r="G17">
        <v>2.4825349301397207E-3</v>
      </c>
      <c r="H17">
        <v>3.0275606746194982E-4</v>
      </c>
      <c r="I17">
        <v>4.4641335832339407E-8</v>
      </c>
      <c r="J17">
        <v>8.9525514771709943E-7</v>
      </c>
      <c r="K17">
        <v>2.1052631578947371E-6</v>
      </c>
      <c r="L17">
        <v>5.4760031471282461E-6</v>
      </c>
      <c r="M17">
        <v>1.0408326661329064E-6</v>
      </c>
      <c r="N17">
        <v>3.6828644501278775E-4</v>
      </c>
      <c r="O17">
        <v>2.1893912424350302E-4</v>
      </c>
      <c r="P17">
        <v>6.0026098303610265E-5</v>
      </c>
      <c r="Q17">
        <v>1.8050193050193051E-5</v>
      </c>
      <c r="R17">
        <v>2.3554603854389724E-4</v>
      </c>
      <c r="S17">
        <v>8.9525514771709943E-7</v>
      </c>
    </row>
    <row r="18" spans="1:19" x14ac:dyDescent="0.25">
      <c r="A18" s="9" t="s">
        <v>0</v>
      </c>
      <c r="B18" s="7">
        <f t="shared" si="1"/>
        <v>45085</v>
      </c>
      <c r="C18" s="6">
        <f t="shared" si="1"/>
        <v>112</v>
      </c>
      <c r="D18" s="10">
        <v>5.18</v>
      </c>
      <c r="E18" s="11">
        <f t="shared" si="0"/>
        <v>6.6069344800759593E-6</v>
      </c>
      <c r="F18">
        <v>3.2167395377888817E-3</v>
      </c>
      <c r="G18">
        <v>2.4825349301397207E-3</v>
      </c>
      <c r="H18">
        <v>3.0275606746194982E-4</v>
      </c>
      <c r="I18">
        <v>4.4641335832339407E-8</v>
      </c>
      <c r="J18">
        <v>8.9525514771709943E-7</v>
      </c>
      <c r="K18">
        <v>2.1052631578947371E-6</v>
      </c>
      <c r="L18">
        <v>5.4760031471282461E-6</v>
      </c>
      <c r="M18">
        <v>1.0408326661329064E-6</v>
      </c>
      <c r="N18">
        <v>3.6828644501278775E-4</v>
      </c>
      <c r="O18">
        <v>2.1893912424350302E-4</v>
      </c>
      <c r="P18">
        <v>6.0026098303610265E-5</v>
      </c>
      <c r="Q18">
        <v>1.8050193050193051E-5</v>
      </c>
      <c r="R18">
        <v>2.3554603854389724E-4</v>
      </c>
      <c r="S18">
        <v>8.9525514771709943E-7</v>
      </c>
    </row>
    <row r="19" spans="1:19" x14ac:dyDescent="0.25">
      <c r="A19" s="9" t="s">
        <v>0</v>
      </c>
      <c r="B19" s="7">
        <f t="shared" si="1"/>
        <v>45092</v>
      </c>
      <c r="C19" s="6">
        <f t="shared" si="1"/>
        <v>119</v>
      </c>
      <c r="D19" s="10">
        <v>5.23</v>
      </c>
      <c r="E19" s="11">
        <f t="shared" si="0"/>
        <v>5.8884365535558799E-6</v>
      </c>
      <c r="F19">
        <v>2.6025400791172184E-3</v>
      </c>
      <c r="G19">
        <v>1.8238522954091816E-3</v>
      </c>
      <c r="H19">
        <v>2.5668449197860968E-4</v>
      </c>
      <c r="I19">
        <v>4.7708297836087917E-8</v>
      </c>
      <c r="J19">
        <v>8.9525514771709943E-7</v>
      </c>
      <c r="K19">
        <v>3.0837657524091922E-6</v>
      </c>
      <c r="L19">
        <v>7.2698662470495681E-6</v>
      </c>
      <c r="M19">
        <v>1.0408326661329064E-6</v>
      </c>
      <c r="N19">
        <v>3.4782608695652171E-4</v>
      </c>
      <c r="O19">
        <v>2.5987896048415809E-4</v>
      </c>
      <c r="P19">
        <v>5.3936494127881692E-5</v>
      </c>
      <c r="Q19">
        <v>2.442084942084942E-5</v>
      </c>
      <c r="R19">
        <v>2.8602018966044664E-4</v>
      </c>
      <c r="S19">
        <v>8.9525514771709943E-7</v>
      </c>
    </row>
    <row r="20" spans="1:19" x14ac:dyDescent="0.25">
      <c r="A20" s="9" t="s">
        <v>0</v>
      </c>
      <c r="B20" s="7">
        <f t="shared" si="1"/>
        <v>45099</v>
      </c>
      <c r="C20" s="6">
        <f t="shared" si="1"/>
        <v>126</v>
      </c>
      <c r="D20" s="10">
        <v>5.13</v>
      </c>
      <c r="E20" s="11">
        <f t="shared" si="0"/>
        <v>7.4131024130091704E-6</v>
      </c>
      <c r="F20">
        <v>2.6025400791172184E-3</v>
      </c>
      <c r="G20">
        <v>1.8238522954091816E-3</v>
      </c>
      <c r="H20">
        <v>2.5668449197860968E-4</v>
      </c>
      <c r="I20">
        <v>4.7708297836087917E-8</v>
      </c>
      <c r="J20">
        <v>8.9525514771709943E-7</v>
      </c>
      <c r="K20">
        <v>3.0837657524091922E-6</v>
      </c>
      <c r="L20">
        <v>7.2698662470495681E-6</v>
      </c>
      <c r="M20">
        <v>1.0408326661329064E-6</v>
      </c>
      <c r="N20">
        <v>3.4782608695652171E-4</v>
      </c>
      <c r="O20">
        <v>2.5987896048415809E-4</v>
      </c>
      <c r="P20">
        <v>5.3936494127881692E-5</v>
      </c>
      <c r="Q20">
        <v>2.442084942084942E-5</v>
      </c>
      <c r="R20">
        <v>2.8602018966044664E-4</v>
      </c>
      <c r="S20">
        <v>8.9525514771709943E-7</v>
      </c>
    </row>
    <row r="21" spans="1:19" x14ac:dyDescent="0.25">
      <c r="A21" s="9" t="s">
        <v>0</v>
      </c>
      <c r="B21" s="7">
        <f t="shared" si="1"/>
        <v>45106</v>
      </c>
      <c r="C21" s="6">
        <f t="shared" si="1"/>
        <v>133</v>
      </c>
      <c r="D21" s="10">
        <v>5.19</v>
      </c>
      <c r="E21" s="11">
        <f t="shared" si="0"/>
        <v>6.456542290346543E-6</v>
      </c>
      <c r="F21">
        <v>2.6025400791172184E-3</v>
      </c>
      <c r="G21">
        <v>1.8238522954091816E-3</v>
      </c>
      <c r="H21">
        <v>2.5668449197860968E-4</v>
      </c>
      <c r="I21">
        <v>4.7708297836087917E-8</v>
      </c>
      <c r="J21">
        <v>8.9525514771709943E-7</v>
      </c>
      <c r="K21">
        <v>3.0837657524091922E-6</v>
      </c>
      <c r="L21">
        <v>7.2698662470495681E-6</v>
      </c>
      <c r="M21">
        <v>1.0408326661329064E-6</v>
      </c>
      <c r="N21">
        <v>3.4782608695652171E-4</v>
      </c>
      <c r="O21">
        <v>2.5987896048415809E-4</v>
      </c>
      <c r="P21">
        <v>5.3936494127881692E-5</v>
      </c>
      <c r="Q21">
        <v>2.442084942084942E-5</v>
      </c>
      <c r="R21">
        <v>2.8602018966044664E-4</v>
      </c>
      <c r="S21">
        <v>8.9525514771709943E-7</v>
      </c>
    </row>
    <row r="22" spans="1:19" x14ac:dyDescent="0.25">
      <c r="A22" s="9" t="s">
        <v>0</v>
      </c>
      <c r="B22" s="7">
        <f t="shared" si="1"/>
        <v>45113</v>
      </c>
      <c r="C22" s="6">
        <f t="shared" si="1"/>
        <v>140</v>
      </c>
      <c r="D22" s="10">
        <v>5.26</v>
      </c>
      <c r="E22" s="11">
        <f t="shared" si="0"/>
        <v>5.4954087385762383E-6</v>
      </c>
      <c r="F22">
        <v>2.6025400791172184E-3</v>
      </c>
      <c r="G22">
        <v>1.8238522954091816E-3</v>
      </c>
      <c r="H22">
        <v>2.5668449197860968E-4</v>
      </c>
      <c r="I22">
        <v>4.7708297836087917E-8</v>
      </c>
      <c r="J22">
        <v>8.9525514771709943E-7</v>
      </c>
      <c r="K22">
        <v>3.0837657524091922E-6</v>
      </c>
      <c r="L22">
        <v>7.2698662470495681E-6</v>
      </c>
      <c r="M22">
        <v>1.0408326661329064E-6</v>
      </c>
      <c r="N22">
        <v>3.4782608695652171E-4</v>
      </c>
      <c r="O22">
        <v>2.5987896048415809E-4</v>
      </c>
      <c r="P22">
        <v>5.3936494127881692E-5</v>
      </c>
      <c r="Q22">
        <v>2.442084942084942E-5</v>
      </c>
      <c r="R22">
        <v>2.8602018966044664E-4</v>
      </c>
      <c r="S22">
        <v>8.9525514771709943E-7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 data for min3p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Joodavi Ata (GTK)</dc:creator>
  <cp:lastModifiedBy>Joodavi Ata (GTK)</cp:lastModifiedBy>
  <dcterms:created xsi:type="dcterms:W3CDTF">2025-11-27T08:25:44Z</dcterms:created>
  <dcterms:modified xsi:type="dcterms:W3CDTF">2026-06-03T08:52:07Z</dcterms:modified>
</cp:coreProperties>
</file>